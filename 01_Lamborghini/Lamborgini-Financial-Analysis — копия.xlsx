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2250AD3-9CE2-48E0-9853-FF1486585499}" xr6:coauthVersionLast="47" xr6:coauthVersionMax="47" xr10:uidLastSave="{00000000-0000-0000-0000-000000000000}"/>
  <bookViews>
    <workbookView xWindow="-108" yWindow="-108" windowWidth="23256" windowHeight="13176" xr2:uid="{6BDC1865-B519-4DA2-96AE-557FEA2536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E6" i="1"/>
  <c r="B6" i="1"/>
  <c r="C6" i="1"/>
  <c r="D6" i="1"/>
  <c r="F6" i="1"/>
  <c r="H7" i="1"/>
  <c r="H6" i="1"/>
  <c r="G7" i="1"/>
  <c r="G6" i="1"/>
  <c r="F7" i="1"/>
  <c r="B8" i="1"/>
  <c r="E8" i="1"/>
  <c r="D8" i="1"/>
  <c r="C8" i="1"/>
  <c r="H4" i="1"/>
  <c r="G4" i="1"/>
  <c r="F4" i="1"/>
  <c r="H3" i="1"/>
  <c r="G3" i="1"/>
  <c r="F3" i="1"/>
  <c r="H2" i="1"/>
  <c r="G2" i="1"/>
  <c r="F2" i="1"/>
  <c r="F5" i="1" l="1"/>
  <c r="G5" i="1"/>
  <c r="H5" i="1"/>
</calcChain>
</file>

<file path=xl/sharedStrings.xml><?xml version="1.0" encoding="utf-8"?>
<sst xmlns="http://schemas.openxmlformats.org/spreadsheetml/2006/main" count="14" uniqueCount="14">
  <si>
    <t>Metric</t>
  </si>
  <si>
    <t>FY 2022</t>
  </si>
  <si>
    <t>FY 2023</t>
  </si>
  <si>
    <t>FY 2024</t>
  </si>
  <si>
    <t>FY 2025</t>
  </si>
  <si>
    <t>22/23</t>
  </si>
  <si>
    <t>23/24</t>
  </si>
  <si>
    <t>24/25</t>
  </si>
  <si>
    <t>Revenuve (millions)</t>
  </si>
  <si>
    <t xml:space="preserve">Operating margin </t>
  </si>
  <si>
    <t>Revenue per car (thousand)</t>
  </si>
  <si>
    <t>Cars delivered</t>
  </si>
  <si>
    <t>Operating profit (millions)</t>
  </si>
  <si>
    <t>Operating profit per Car (thousand)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</si>
</sst>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164" fontId="0" fillId="0" borderId="0" xfId="2" applyNumberFormat="1" applyFont="1"/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&amp;operating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7469816272965873E-2"/>
          <c:y val="0.17171296296296298"/>
          <c:w val="0.8775301837270341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Лист1!$B$1:$E$1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Лист1!$B$2:$E$2</c:f>
              <c:numCache>
                <c:formatCode>_-[$$-409]* #\ ##0.00_ ;_-[$$-409]* \-#\ ##0.00\ ;_-[$$-409]* "-"??_ ;_-@_ </c:formatCode>
                <c:ptCount val="4"/>
                <c:pt idx="0">
                  <c:v>2380</c:v>
                </c:pt>
                <c:pt idx="1">
                  <c:v>2660</c:v>
                </c:pt>
                <c:pt idx="2">
                  <c:v>3095</c:v>
                </c:pt>
                <c:pt idx="3">
                  <c:v>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9-40AD-9366-B0FD6F282543}"/>
            </c:ext>
          </c:extLst>
        </c:ser>
        <c:ser>
          <c:idx val="1"/>
          <c:order val="1"/>
          <c:tx>
            <c:v>operating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Лист1!$B$1:$E$1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Лист1!$B$3:$E$3</c:f>
              <c:numCache>
                <c:formatCode>_-[$$-409]* #\ ##0.00_ ;_-[$$-409]* \-#\ ##0.00\ ;_-[$$-409]* "-"??_ ;_-@_ </c:formatCode>
                <c:ptCount val="4"/>
                <c:pt idx="0">
                  <c:v>614</c:v>
                </c:pt>
                <c:pt idx="1">
                  <c:v>723</c:v>
                </c:pt>
                <c:pt idx="2">
                  <c:v>835</c:v>
                </c:pt>
                <c:pt idx="3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9-40AD-9366-B0FD6F2825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442399"/>
        <c:axId val="43443647"/>
      </c:lineChart>
      <c:catAx>
        <c:axId val="434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443647"/>
        <c:crosses val="autoZero"/>
        <c:auto val="1"/>
        <c:lblAlgn val="ctr"/>
        <c:lblOffset val="100"/>
        <c:noMultiLvlLbl val="0"/>
      </c:catAx>
      <c:valAx>
        <c:axId val="434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4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Лист1!$A$5</c:f>
              <c:strCache>
                <c:ptCount val="1"/>
                <c:pt idx="0">
                  <c:v>Revenue per car (thousand)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Лист1!$B$5:$E$5</c:f>
              <c:numCache>
                <c:formatCode>_-[$$-409]* #\ ##0.00_ ;_-[$$-409]* \-#\ ##0.00\ ;_-[$$-409]* "-"??_ ;_-@_ </c:formatCode>
                <c:ptCount val="4"/>
                <c:pt idx="0">
                  <c:v>257.77103866565579</c:v>
                </c:pt>
                <c:pt idx="1">
                  <c:v>263.05379746835445</c:v>
                </c:pt>
                <c:pt idx="2">
                  <c:v>289.60419200898286</c:v>
                </c:pt>
                <c:pt idx="3">
                  <c:v>297.75751372476037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6-432F-9141-8E5E972DCFE9}"/>
            </c:ext>
          </c:extLst>
        </c:ser>
        <c:ser>
          <c:idx val="1"/>
          <c:order val="1"/>
          <c:tx>
            <c:strRef>
              <c:f>Лист1!$A$6</c:f>
              <c:strCache>
                <c:ptCount val="1"/>
                <c:pt idx="0">
                  <c:v>Operating profit per Car (thousand)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Лист1!$B$6:$E$6</c:f>
              <c:numCache>
                <c:formatCode>_-[$$-409]* #\ ##0.00_ ;_-[$$-409]* \-#\ ##0.00\ ;_-[$$-409]* "-"??_ ;_-@_ </c:formatCode>
                <c:ptCount val="4"/>
                <c:pt idx="0">
                  <c:v>66.500595689375061</c:v>
                </c:pt>
                <c:pt idx="1">
                  <c:v>71.499208860759495</c:v>
                </c:pt>
                <c:pt idx="2">
                  <c:v>78.132310283522031</c:v>
                </c:pt>
                <c:pt idx="3">
                  <c:v>71.461803293942495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6-432F-9141-8E5E972DC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464719"/>
        <c:axId val="1365460927"/>
      </c:lineChart>
      <c:catAx>
        <c:axId val="191546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460927"/>
        <c:crosses val="autoZero"/>
        <c:auto val="1"/>
        <c:lblAlgn val="ctr"/>
        <c:lblOffset val="100"/>
        <c:noMultiLvlLbl val="0"/>
      </c:catAx>
      <c:valAx>
        <c:axId val="13654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54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Cars delivered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Лист1!$B$1:$E$1</c:f>
              <c:strCache>
                <c:ptCount val="4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</c:strCache>
            </c:strRef>
          </c:cat>
          <c:val>
            <c:numRef>
              <c:f>Лист1!$B$4:$E$4</c:f>
              <c:numCache>
                <c:formatCode>General</c:formatCode>
                <c:ptCount val="4"/>
                <c:pt idx="0">
                  <c:v>9233</c:v>
                </c:pt>
                <c:pt idx="1">
                  <c:v>10112</c:v>
                </c:pt>
                <c:pt idx="2">
                  <c:v>10687</c:v>
                </c:pt>
                <c:pt idx="3">
                  <c:v>10747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E-46C0-8E72-A7C3CE0F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749983"/>
        <c:axId val="1917745823"/>
      </c:lineChart>
      <c:catAx>
        <c:axId val="19177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745823"/>
        <c:crosses val="autoZero"/>
        <c:auto val="1"/>
        <c:lblAlgn val="ctr"/>
        <c:lblOffset val="100"/>
        <c:noMultiLvlLbl val="0"/>
      </c:catAx>
      <c:valAx>
        <c:axId val="19177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7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10025</xdr:rowOff>
    </xdr:from>
    <xdr:to>
      <xdr:col>4</xdr:col>
      <xdr:colOff>528386</xdr:colOff>
      <xdr:row>24</xdr:row>
      <xdr:rowOff>35593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4068A72-DD5D-4BB9-B546-500D2118B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541588</xdr:colOff>
      <xdr:row>9</xdr:row>
      <xdr:rowOff>10706</xdr:rowOff>
    </xdr:from>
    <xdr:to>
      <xdr:col>11</xdr:col>
      <xdr:colOff>547885</xdr:colOff>
      <xdr:row>24</xdr:row>
      <xdr:rowOff>14484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5B9AB18-C4E5-44DF-B0EF-690872412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546932</xdr:colOff>
      <xdr:row>9</xdr:row>
      <xdr:rowOff>5580</xdr:rowOff>
    </xdr:from>
    <xdr:to>
      <xdr:col>19</xdr:col>
      <xdr:colOff>231397</xdr:colOff>
      <xdr:row>24</xdr:row>
      <xdr:rowOff>9357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0BCE2A1-BACA-4ADE-A3B0-796C5D736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105D-3FF2-4DDB-BC19-B3B28570AD98}">
  <dimension ref="A1:H8"/>
  <sheetViews>
    <sheetView tabSelected="1" zoomScale="128" zoomScaleNormal="121" workbookViewId="0">
      <selection activeCell="D2" sqref="D2"/>
    </sheetView>
  </sheetViews>
  <sheetFormatPr defaultRowHeight="14.4" x14ac:dyDescent="0.3"/>
  <cols>
    <col min="1" max="1" width="30.33203125" customWidth="1"/>
    <col min="2" max="2" width="14.44140625" bestFit="1" customWidth="1"/>
    <col min="3" max="3" width="10.5546875" bestFit="1" customWidth="1"/>
    <col min="4" max="4" width="10" bestFit="1" customWidth="1"/>
    <col min="5" max="5" width="10.5546875" bestFit="1" customWidth="1"/>
    <col min="6" max="7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2">
        <v>2380</v>
      </c>
      <c r="C2" s="3">
        <v>2660</v>
      </c>
      <c r="D2" s="3">
        <v>3095</v>
      </c>
      <c r="E2" s="3">
        <v>3200</v>
      </c>
      <c r="F2" s="1">
        <f t="shared" ref="F2:H8" si="0">(C2-B2)/B2</f>
        <v>0.11764705882352941</v>
      </c>
      <c r="G2" s="1">
        <f t="shared" si="0"/>
        <v>0.16353383458646617</v>
      </c>
      <c r="H2" s="1">
        <f t="shared" si="0"/>
        <v>3.3925686591276254E-2</v>
      </c>
    </row>
    <row r="3" spans="1:8" ht="15" customHeight="1" x14ac:dyDescent="0.3">
      <c r="A3" s="6" t="s">
        <v>12</v>
      </c>
      <c r="B3" s="3">
        <v>614</v>
      </c>
      <c r="C3" s="3">
        <v>723</v>
      </c>
      <c r="D3" s="3">
        <v>835</v>
      </c>
      <c r="E3" s="3">
        <v>768</v>
      </c>
      <c r="F3" s="1">
        <f t="shared" si="0"/>
        <v>0.17752442996742671</v>
      </c>
      <c r="G3" s="1">
        <f t="shared" si="0"/>
        <v>0.15491009681881052</v>
      </c>
      <c r="H3" s="1">
        <f t="shared" si="0"/>
        <v>-8.0239520958083829E-2</v>
      </c>
    </row>
    <row r="4" spans="1:8" x14ac:dyDescent="0.3">
      <c r="A4" t="s">
        <v>11</v>
      </c>
      <c r="B4">
        <v>9233</v>
      </c>
      <c r="C4">
        <v>10112</v>
      </c>
      <c r="D4">
        <v>10687</v>
      </c>
      <c r="E4">
        <v>10747</v>
      </c>
      <c r="F4" s="1">
        <f t="shared" si="0"/>
        <v>9.5201992851727493E-2</v>
      </c>
      <c r="G4" s="1">
        <f t="shared" si="0"/>
        <v>5.6863132911392403E-2</v>
      </c>
      <c r="H4" s="1">
        <f t="shared" si="0"/>
        <v>5.6142977449237389E-3</v>
      </c>
    </row>
    <row r="5" spans="1:8" ht="15.6" customHeight="1" x14ac:dyDescent="0.3">
      <c r="A5" s="6" t="s">
        <v>10</v>
      </c>
      <c r="B5" s="4">
        <f>B2/B4*1000</f>
        <v>257.77103866565579</v>
      </c>
      <c r="C5" s="4">
        <f t="shared" ref="C5:D5" si="1">C2/C4*1000</f>
        <v>263.05379746835445</v>
      </c>
      <c r="D5" s="4">
        <f t="shared" si="1"/>
        <v>289.60419200898286</v>
      </c>
      <c r="E5" s="4">
        <f>E2/E4*1000</f>
        <v>297.75751372476037</v>
      </c>
      <c r="F5" s="1">
        <f>(C5-B5)/B5</f>
        <v>2.049399664929271E-2</v>
      </c>
      <c r="G5" s="1">
        <f t="shared" si="0"/>
        <v>0.10093142465971223</v>
      </c>
      <c r="H5" s="1">
        <f t="shared" si="0"/>
        <v>2.8153327682234001E-2</v>
      </c>
    </row>
    <row r="6" spans="1:8" x14ac:dyDescent="0.3">
      <c r="A6" s="5" t="s">
        <v>13</v>
      </c>
      <c r="B6" s="3">
        <f>B3/B4*1000</f>
        <v>66.500595689375061</v>
      </c>
      <c r="C6" s="3">
        <f t="shared" ref="C6:E6" si="2">C3/C4*1000</f>
        <v>71.499208860759495</v>
      </c>
      <c r="D6" s="3">
        <f t="shared" si="2"/>
        <v>78.132310283522031</v>
      </c>
      <c r="E6" s="3">
        <f>E3/E4*1000</f>
        <v>71.461803293942495</v>
      </c>
      <c r="F6" s="1">
        <f>(C6-B6)/B6</f>
        <v>7.516644203809851E-2</v>
      </c>
      <c r="G6" s="1">
        <f>(D6-C6)/C6</f>
        <v>9.2771675777281834E-2</v>
      </c>
      <c r="H6" s="1">
        <f>(E6-D6)/D6</f>
        <v>-8.537450083549282E-2</v>
      </c>
    </row>
    <row r="7" spans="1:8" ht="0.6" hidden="1" x14ac:dyDescent="0.3">
      <c r="F7" s="1" t="e">
        <f t="shared" ref="F6:F8" si="3">(C7-B7)/B7</f>
        <v>#DIV/0!</v>
      </c>
      <c r="G7" s="1" t="e">
        <f t="shared" si="0"/>
        <v>#DIV/0!</v>
      </c>
      <c r="H7" s="1" t="e">
        <f t="shared" si="0"/>
        <v>#DIV/0!</v>
      </c>
    </row>
    <row r="8" spans="1:8" x14ac:dyDescent="0.3">
      <c r="A8" s="6" t="s">
        <v>9</v>
      </c>
      <c r="B8" s="1">
        <f>B3/B2</f>
        <v>0.25798319327731095</v>
      </c>
      <c r="C8" s="1">
        <f>C3/C2</f>
        <v>0.27180451127819549</v>
      </c>
      <c r="D8" s="1">
        <f>D3/D2</f>
        <v>0.26978998384491115</v>
      </c>
      <c r="E8" s="1">
        <f>E3/E2</f>
        <v>0.24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Donch1kbrokopy@gmail.com</dc:creator>
  <cp:lastModifiedBy>Donch1kbrokopy@gmail.com</cp:lastModifiedBy>
  <dcterms:created xsi:type="dcterms:W3CDTF">2026-09-13T10:04:44Z</dcterms:created>
  <dcterms:modified xsi:type="dcterms:W3CDTF">2026-09-13T11:57:47Z</dcterms:modified>
</cp:coreProperties>
</file>